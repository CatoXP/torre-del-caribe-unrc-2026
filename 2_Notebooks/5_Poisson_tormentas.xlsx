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Eventos" sheetId="2" state="visible" r:id="rId2"/>
    <sheet xmlns:r="http://schemas.openxmlformats.org/officeDocument/2006/relationships" name="Poisson por mes" sheetId="3" state="visible" r:id="rId3"/>
    <sheet xmlns:r="http://schemas.openxmlformats.org/officeDocument/2006/relationships" name="Prueba de dispersión" sheetId="4" state="visible" r:id="rId4"/>
    <sheet xmlns:r="http://schemas.openxmlformats.org/officeDocument/2006/relationships" name="Tend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F224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F2241"/>
      </patternFill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Probabilidad de al menos una tormenta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'Poisson por mes'!F1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'Poisson por mes'!$B$2:$B$13</f>
            </numRef>
          </cat>
          <val>
            <numRef>
              <f>'Poisson por mes'!$F$2:$F$13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Torre del Caribe · Probabilidad de tormenta por mes (proceso de Poisson)</t>
        </is>
      </c>
    </row>
    <row r="2">
      <c r="A2" t="inlineStr">
        <is>
          <t>Fuente: HURDAT2 (NOAA). Evento = tormenta tropical o huracán (≥ 34 nudos) a ≤ 200 km de Chetumal, 1966–2025.</t>
        </is>
      </c>
    </row>
    <row r="3">
      <c r="A3" t="inlineStr">
        <is>
          <t>λ_m = eventos que empezaron en el mes m ÷ 60 años.  P(al menos una tormenta) = 1 − EXP(−λ_m).</t>
        </is>
      </c>
    </row>
    <row r="4">
      <c r="A4" t="inlineStr">
        <is>
          <t>Las columnas en gris son el mismo valor calculado en Python (notebook 5) para comprobar las fórmulas.</t>
        </is>
      </c>
    </row>
    <row r="5">
      <c r="A5" t="inlineStr">
        <is>
          <t>Hojas: Eventos (los 31 casos), Poisson por mes, Prueba de dispersión, Tendencia.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2" t="inlineStr">
        <is>
          <t>Tormenta</t>
        </is>
      </c>
      <c r="B1" s="2" t="inlineStr">
        <is>
          <t>Nombre</t>
        </is>
      </c>
      <c r="C1" s="2" t="inlineStr">
        <is>
          <t>Año</t>
        </is>
      </c>
      <c r="D1" s="2" t="inlineStr">
        <is>
          <t>Mes</t>
        </is>
      </c>
      <c r="E1" s="2" t="inlineStr">
        <is>
          <t>Viento máximo (nudos)</t>
        </is>
      </c>
      <c r="F1" s="2" t="inlineStr">
        <is>
          <t>Distancia mínima a Chetumal (km)</t>
        </is>
      </c>
    </row>
    <row r="2">
      <c r="A2" t="inlineStr">
        <is>
          <t>AL131971</t>
        </is>
      </c>
      <c r="B2" t="inlineStr">
        <is>
          <t>EDITH</t>
        </is>
      </c>
      <c r="C2" t="n">
        <v>1971</v>
      </c>
      <c r="D2" t="n">
        <v>9</v>
      </c>
      <c r="E2" t="n">
        <v>60</v>
      </c>
      <c r="F2" t="n">
        <v>59.5</v>
      </c>
    </row>
    <row r="3">
      <c r="A3" t="inlineStr">
        <is>
          <t>AL221971</t>
        </is>
      </c>
      <c r="B3" t="inlineStr">
        <is>
          <t>LAURA</t>
        </is>
      </c>
      <c r="C3" t="n">
        <v>1971</v>
      </c>
      <c r="D3" t="n">
        <v>11</v>
      </c>
      <c r="E3" t="n">
        <v>60</v>
      </c>
      <c r="F3" t="n">
        <v>157.9</v>
      </c>
    </row>
    <row r="4">
      <c r="A4" t="inlineStr">
        <is>
          <t>AL021972</t>
        </is>
      </c>
      <c r="B4" t="inlineStr">
        <is>
          <t>AGNES</t>
        </is>
      </c>
      <c r="C4" t="n">
        <v>1972</v>
      </c>
      <c r="D4" t="n">
        <v>6</v>
      </c>
      <c r="E4" t="n">
        <v>40</v>
      </c>
      <c r="F4" t="n">
        <v>191.7</v>
      </c>
    </row>
    <row r="5">
      <c r="A5" t="inlineStr">
        <is>
          <t>AL191973</t>
        </is>
      </c>
      <c r="B5" t="inlineStr">
        <is>
          <t>UNNAMED</t>
        </is>
      </c>
      <c r="C5" t="n">
        <v>1973</v>
      </c>
      <c r="D5" t="n">
        <v>7</v>
      </c>
      <c r="E5" t="n">
        <v>40</v>
      </c>
      <c r="F5" t="n">
        <v>119</v>
      </c>
    </row>
    <row r="6">
      <c r="A6" t="inlineStr">
        <is>
          <t>AL101974</t>
        </is>
      </c>
      <c r="B6" t="inlineStr">
        <is>
          <t>CARMEN</t>
        </is>
      </c>
      <c r="C6" t="n">
        <v>1974</v>
      </c>
      <c r="D6" t="n">
        <v>9</v>
      </c>
      <c r="E6" t="n">
        <v>135</v>
      </c>
      <c r="F6" t="n">
        <v>15.3</v>
      </c>
    </row>
    <row r="7">
      <c r="A7" t="inlineStr">
        <is>
          <t>AL161978</t>
        </is>
      </c>
      <c r="B7" t="inlineStr">
        <is>
          <t>GRETA</t>
        </is>
      </c>
      <c r="C7" t="n">
        <v>1978</v>
      </c>
      <c r="D7" t="n">
        <v>9</v>
      </c>
      <c r="E7" t="n">
        <v>95</v>
      </c>
      <c r="F7" t="n">
        <v>167.1</v>
      </c>
    </row>
    <row r="8">
      <c r="A8" t="inlineStr">
        <is>
          <t>AL131980</t>
        </is>
      </c>
      <c r="B8" t="inlineStr">
        <is>
          <t>HERMINE</t>
        </is>
      </c>
      <c r="C8" t="n">
        <v>1980</v>
      </c>
      <c r="D8" t="n">
        <v>9</v>
      </c>
      <c r="E8" t="n">
        <v>60</v>
      </c>
      <c r="F8" t="n">
        <v>64.3</v>
      </c>
    </row>
    <row r="9">
      <c r="A9" t="inlineStr">
        <is>
          <t>AL051990</t>
        </is>
      </c>
      <c r="B9" t="inlineStr">
        <is>
          <t>DIANA</t>
        </is>
      </c>
      <c r="C9" t="n">
        <v>1990</v>
      </c>
      <c r="D9" t="n">
        <v>8</v>
      </c>
      <c r="E9" t="n">
        <v>55</v>
      </c>
      <c r="F9" t="n">
        <v>92.3</v>
      </c>
    </row>
    <row r="10">
      <c r="A10" t="inlineStr">
        <is>
          <t>AL081993</t>
        </is>
      </c>
      <c r="B10" t="inlineStr">
        <is>
          <t>GERT</t>
        </is>
      </c>
      <c r="C10" t="n">
        <v>1993</v>
      </c>
      <c r="D10" t="n">
        <v>9</v>
      </c>
      <c r="E10" t="n">
        <v>35</v>
      </c>
      <c r="F10" t="n">
        <v>46</v>
      </c>
    </row>
    <row r="11">
      <c r="A11" t="inlineStr">
        <is>
          <t>AL191995</t>
        </is>
      </c>
      <c r="B11" t="inlineStr">
        <is>
          <t>ROXANNE</t>
        </is>
      </c>
      <c r="C11" t="n">
        <v>1995</v>
      </c>
      <c r="D11" t="n">
        <v>10</v>
      </c>
      <c r="E11" t="n">
        <v>100</v>
      </c>
      <c r="F11" t="n">
        <v>168.1</v>
      </c>
    </row>
    <row r="12">
      <c r="A12" t="inlineStr">
        <is>
          <t>AL041996</t>
        </is>
      </c>
      <c r="B12" t="inlineStr">
        <is>
          <t>DOLLY</t>
        </is>
      </c>
      <c r="C12" t="n">
        <v>1996</v>
      </c>
      <c r="D12" t="n">
        <v>8</v>
      </c>
      <c r="E12" t="n">
        <v>65</v>
      </c>
      <c r="F12" t="n">
        <v>88.5</v>
      </c>
    </row>
    <row r="13">
      <c r="A13" t="inlineStr">
        <is>
          <t>AL152000</t>
        </is>
      </c>
      <c r="B13" t="inlineStr">
        <is>
          <t>KEITH</t>
        </is>
      </c>
      <c r="C13" t="n">
        <v>2000</v>
      </c>
      <c r="D13" t="n">
        <v>9</v>
      </c>
      <c r="E13" t="n">
        <v>120</v>
      </c>
      <c r="F13" t="n">
        <v>56.6</v>
      </c>
    </row>
    <row r="14">
      <c r="A14" t="inlineStr">
        <is>
          <t>AL042001</t>
        </is>
      </c>
      <c r="B14" t="inlineStr">
        <is>
          <t>CHANTAL</t>
        </is>
      </c>
      <c r="C14" t="n">
        <v>2001</v>
      </c>
      <c r="D14" t="n">
        <v>8</v>
      </c>
      <c r="E14" t="n">
        <v>60</v>
      </c>
      <c r="F14" t="n">
        <v>39.5</v>
      </c>
    </row>
    <row r="15">
      <c r="A15" t="inlineStr">
        <is>
          <t>AL202005</t>
        </is>
      </c>
      <c r="B15" t="inlineStr">
        <is>
          <t>STAN</t>
        </is>
      </c>
      <c r="C15" t="n">
        <v>2005</v>
      </c>
      <c r="D15" t="n">
        <v>10</v>
      </c>
      <c r="E15" t="n">
        <v>40</v>
      </c>
      <c r="F15" t="n">
        <v>148.4</v>
      </c>
    </row>
    <row r="16">
      <c r="A16" t="inlineStr">
        <is>
          <t>AL042007</t>
        </is>
      </c>
      <c r="B16" t="inlineStr">
        <is>
          <t>DEAN</t>
        </is>
      </c>
      <c r="C16" t="n">
        <v>2007</v>
      </c>
      <c r="D16" t="n">
        <v>8</v>
      </c>
      <c r="E16" t="n">
        <v>150</v>
      </c>
      <c r="F16" t="n">
        <v>61.3</v>
      </c>
    </row>
    <row r="17">
      <c r="A17" t="inlineStr">
        <is>
          <t>AL012008</t>
        </is>
      </c>
      <c r="B17" t="inlineStr">
        <is>
          <t>ARTHUR</t>
        </is>
      </c>
      <c r="C17" t="n">
        <v>2008</v>
      </c>
      <c r="D17" t="n">
        <v>5</v>
      </c>
      <c r="E17" t="n">
        <v>40</v>
      </c>
      <c r="F17" t="n">
        <v>56.6</v>
      </c>
    </row>
    <row r="18">
      <c r="A18" t="inlineStr">
        <is>
          <t>AL012010</t>
        </is>
      </c>
      <c r="B18" t="inlineStr">
        <is>
          <t>ALEX</t>
        </is>
      </c>
      <c r="C18" t="n">
        <v>2010</v>
      </c>
      <c r="D18" t="n">
        <v>6</v>
      </c>
      <c r="E18" t="n">
        <v>55</v>
      </c>
      <c r="F18" t="n">
        <v>101.1</v>
      </c>
    </row>
    <row r="19">
      <c r="A19" t="inlineStr">
        <is>
          <t>AL132010</t>
        </is>
      </c>
      <c r="B19" t="inlineStr">
        <is>
          <t>KARL</t>
        </is>
      </c>
      <c r="C19" t="n">
        <v>2010</v>
      </c>
      <c r="D19" t="n">
        <v>9</v>
      </c>
      <c r="E19" t="n">
        <v>55</v>
      </c>
      <c r="F19" t="n">
        <v>52.7</v>
      </c>
    </row>
    <row r="20">
      <c r="A20" t="inlineStr">
        <is>
          <t>AL192010</t>
        </is>
      </c>
      <c r="B20" t="inlineStr">
        <is>
          <t>RICHARD</t>
        </is>
      </c>
      <c r="C20" t="n">
        <v>2010</v>
      </c>
      <c r="D20" t="n">
        <v>10</v>
      </c>
      <c r="E20" t="n">
        <v>85</v>
      </c>
      <c r="F20" t="n">
        <v>144.6</v>
      </c>
    </row>
    <row r="21">
      <c r="A21" t="inlineStr">
        <is>
          <t>AL082011</t>
        </is>
      </c>
      <c r="B21" t="inlineStr">
        <is>
          <t>HARVEY</t>
        </is>
      </c>
      <c r="C21" t="n">
        <v>2011</v>
      </c>
      <c r="D21" t="n">
        <v>8</v>
      </c>
      <c r="E21" t="n">
        <v>55</v>
      </c>
      <c r="F21" t="n">
        <v>166.8</v>
      </c>
    </row>
    <row r="22">
      <c r="A22" t="inlineStr">
        <is>
          <t>AL182011</t>
        </is>
      </c>
      <c r="B22" t="inlineStr">
        <is>
          <t>RINA</t>
        </is>
      </c>
      <c r="C22" t="n">
        <v>2011</v>
      </c>
      <c r="D22" t="n">
        <v>10</v>
      </c>
      <c r="E22" t="n">
        <v>65</v>
      </c>
      <c r="F22" t="n">
        <v>157.5</v>
      </c>
    </row>
    <row r="23">
      <c r="A23" t="inlineStr">
        <is>
          <t>AL052012</t>
        </is>
      </c>
      <c r="B23" t="inlineStr">
        <is>
          <t>ERNESTO</t>
        </is>
      </c>
      <c r="C23" t="n">
        <v>2012</v>
      </c>
      <c r="D23" t="n">
        <v>8</v>
      </c>
      <c r="E23" t="n">
        <v>85</v>
      </c>
      <c r="F23" t="n">
        <v>33.4</v>
      </c>
    </row>
    <row r="24">
      <c r="A24" t="inlineStr">
        <is>
          <t>AL052016</t>
        </is>
      </c>
      <c r="B24" t="inlineStr">
        <is>
          <t>EARL</t>
        </is>
      </c>
      <c r="C24" t="n">
        <v>2016</v>
      </c>
      <c r="D24" t="n">
        <v>8</v>
      </c>
      <c r="E24" t="n">
        <v>75</v>
      </c>
      <c r="F24" t="n">
        <v>122.3</v>
      </c>
    </row>
    <row r="25">
      <c r="A25" t="inlineStr">
        <is>
          <t>AL072017</t>
        </is>
      </c>
      <c r="B25" t="inlineStr">
        <is>
          <t>FRANKLIN</t>
        </is>
      </c>
      <c r="C25" t="n">
        <v>2017</v>
      </c>
      <c r="D25" t="n">
        <v>8</v>
      </c>
      <c r="E25" t="n">
        <v>50</v>
      </c>
      <c r="F25" t="n">
        <v>88.5</v>
      </c>
    </row>
    <row r="26">
      <c r="A26" t="inlineStr">
        <is>
          <t>AL032020</t>
        </is>
      </c>
      <c r="B26" t="inlineStr">
        <is>
          <t>CRISTOBAL</t>
        </is>
      </c>
      <c r="C26" t="n">
        <v>2020</v>
      </c>
      <c r="D26" t="n">
        <v>6</v>
      </c>
      <c r="E26" t="n">
        <v>35</v>
      </c>
      <c r="F26" t="n">
        <v>190.1</v>
      </c>
    </row>
    <row r="27">
      <c r="A27" t="inlineStr">
        <is>
          <t>AL162020</t>
        </is>
      </c>
      <c r="B27" t="inlineStr">
        <is>
          <t>NANA</t>
        </is>
      </c>
      <c r="C27" t="n">
        <v>2020</v>
      </c>
      <c r="D27" t="n">
        <v>9</v>
      </c>
      <c r="E27" t="n">
        <v>65</v>
      </c>
      <c r="F27" t="n">
        <v>189</v>
      </c>
    </row>
    <row r="28">
      <c r="A28" t="inlineStr">
        <is>
          <t>AL252020</t>
        </is>
      </c>
      <c r="B28" t="inlineStr">
        <is>
          <t>GAMMA</t>
        </is>
      </c>
      <c r="C28" t="n">
        <v>2020</v>
      </c>
      <c r="D28" t="n">
        <v>10</v>
      </c>
      <c r="E28" t="n">
        <v>55</v>
      </c>
      <c r="F28" t="n">
        <v>183.6</v>
      </c>
    </row>
    <row r="29">
      <c r="A29" t="inlineStr">
        <is>
          <t>AL072021</t>
        </is>
      </c>
      <c r="B29" t="inlineStr">
        <is>
          <t>GRACE</t>
        </is>
      </c>
      <c r="C29" t="n">
        <v>2021</v>
      </c>
      <c r="D29" t="n">
        <v>8</v>
      </c>
      <c r="E29" t="n">
        <v>75</v>
      </c>
      <c r="F29" t="n">
        <v>190.2</v>
      </c>
    </row>
    <row r="30">
      <c r="A30" t="inlineStr">
        <is>
          <t>AL152022</t>
        </is>
      </c>
      <c r="B30" t="inlineStr">
        <is>
          <t>LISA</t>
        </is>
      </c>
      <c r="C30" t="n">
        <v>2022</v>
      </c>
      <c r="D30" t="n">
        <v>11</v>
      </c>
      <c r="E30" t="n">
        <v>80</v>
      </c>
      <c r="F30" t="n">
        <v>115.6</v>
      </c>
    </row>
    <row r="31">
      <c r="A31" t="inlineStr">
        <is>
          <t>AL152024</t>
        </is>
      </c>
      <c r="B31" t="inlineStr">
        <is>
          <t>NADINE</t>
        </is>
      </c>
      <c r="C31" t="n">
        <v>2024</v>
      </c>
      <c r="D31" t="n">
        <v>10</v>
      </c>
      <c r="E31" t="n">
        <v>50</v>
      </c>
      <c r="F31" t="n">
        <v>111.7</v>
      </c>
    </row>
    <row r="32">
      <c r="A32" t="inlineStr">
        <is>
          <t>AL192024</t>
        </is>
      </c>
      <c r="B32" t="inlineStr">
        <is>
          <t>SARA</t>
        </is>
      </c>
      <c r="C32" t="n">
        <v>2024</v>
      </c>
      <c r="D32" t="n">
        <v>11</v>
      </c>
      <c r="E32" t="n">
        <v>35</v>
      </c>
      <c r="F32" t="n">
        <v>166.8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2" t="inlineStr">
        <is>
          <t>Mes</t>
        </is>
      </c>
      <c r="B1" s="2" t="inlineStr">
        <is>
          <t>Nombre</t>
        </is>
      </c>
      <c r="C1" s="2" t="inlineStr">
        <is>
          <t>Eventos</t>
        </is>
      </c>
      <c r="D1" s="2" t="inlineStr">
        <is>
          <t>Años</t>
        </is>
      </c>
      <c r="E1" s="2" t="inlineStr">
        <is>
          <t>λ (por año)</t>
        </is>
      </c>
      <c r="F1" s="2" t="inlineStr">
        <is>
          <t>P(al menos una)</t>
        </is>
      </c>
      <c r="G1" s="2" t="inlineStr">
        <is>
          <t>P(0)</t>
        </is>
      </c>
      <c r="H1" s="2" t="inlineStr">
        <is>
          <t>P(1)</t>
        </is>
      </c>
      <c r="I1" s="2" t="inlineStr">
        <is>
          <t>P(2 o más)</t>
        </is>
      </c>
      <c r="J1" s="2" t="inlineStr">
        <is>
          <t>λ inferior 90 %</t>
        </is>
      </c>
      <c r="K1" s="2" t="inlineStr">
        <is>
          <t>λ superior 90 %</t>
        </is>
      </c>
      <c r="L1" s="2" t="inlineStr">
        <is>
          <t>P inferior 90 %</t>
        </is>
      </c>
      <c r="M1" s="2" t="inlineStr">
        <is>
          <t>P superior 90 %</t>
        </is>
      </c>
      <c r="N1" s="2" t="inlineStr">
        <is>
          <t>P en Python</t>
        </is>
      </c>
    </row>
    <row r="2">
      <c r="A2" t="n">
        <v>1</v>
      </c>
      <c r="B2" t="inlineStr">
        <is>
          <t>ene</t>
        </is>
      </c>
      <c r="C2">
        <f>COUNTIF(Eventos!D:D,A2)</f>
        <v/>
      </c>
      <c r="D2" t="n">
        <v>60</v>
      </c>
      <c r="E2">
        <f>C2/D2</f>
        <v/>
      </c>
      <c r="F2">
        <f>1-EXP(-E2)</f>
        <v/>
      </c>
      <c r="G2">
        <f>_xlfn.POISSON.DIST(0,E2,FALSE)</f>
        <v/>
      </c>
      <c r="H2">
        <f>_xlfn.POISSON.DIST(1,E2,FALSE)</f>
        <v/>
      </c>
      <c r="I2">
        <f>1-G2-H2</f>
        <v/>
      </c>
      <c r="J2">
        <f>IF(C2=0,0,_xlfn.CHISQ.INV(0.05,2*C2)/2/D2)</f>
        <v/>
      </c>
      <c r="K2">
        <f>_xlfn.CHISQ.INV(0.95,2*C2+2)/2/D2</f>
        <v/>
      </c>
      <c r="L2">
        <f>1-EXP(-J2)</f>
        <v/>
      </c>
      <c r="M2">
        <f>1-EXP(-K2)</f>
        <v/>
      </c>
      <c r="N2" s="3" t="n">
        <v>0</v>
      </c>
    </row>
    <row r="3">
      <c r="A3" t="n">
        <v>2</v>
      </c>
      <c r="B3" t="inlineStr">
        <is>
          <t>feb</t>
        </is>
      </c>
      <c r="C3">
        <f>COUNTIF(Eventos!D:D,A3)</f>
        <v/>
      </c>
      <c r="D3" t="n">
        <v>60</v>
      </c>
      <c r="E3">
        <f>C3/D3</f>
        <v/>
      </c>
      <c r="F3">
        <f>1-EXP(-E3)</f>
        <v/>
      </c>
      <c r="G3">
        <f>_xlfn.POISSON.DIST(0,E3,FALSE)</f>
        <v/>
      </c>
      <c r="H3">
        <f>_xlfn.POISSON.DIST(1,E3,FALSE)</f>
        <v/>
      </c>
      <c r="I3">
        <f>1-G3-H3</f>
        <v/>
      </c>
      <c r="J3">
        <f>IF(C3=0,0,_xlfn.CHISQ.INV(0.05,2*C3)/2/D3)</f>
        <v/>
      </c>
      <c r="K3">
        <f>_xlfn.CHISQ.INV(0.95,2*C3+2)/2/D3</f>
        <v/>
      </c>
      <c r="L3">
        <f>1-EXP(-J3)</f>
        <v/>
      </c>
      <c r="M3">
        <f>1-EXP(-K3)</f>
        <v/>
      </c>
      <c r="N3" s="3" t="n">
        <v>0</v>
      </c>
    </row>
    <row r="4">
      <c r="A4" t="n">
        <v>3</v>
      </c>
      <c r="B4" t="inlineStr">
        <is>
          <t>mar</t>
        </is>
      </c>
      <c r="C4">
        <f>COUNTIF(Eventos!D:D,A4)</f>
        <v/>
      </c>
      <c r="D4" t="n">
        <v>60</v>
      </c>
      <c r="E4">
        <f>C4/D4</f>
        <v/>
      </c>
      <c r="F4">
        <f>1-EXP(-E4)</f>
        <v/>
      </c>
      <c r="G4">
        <f>_xlfn.POISSON.DIST(0,E4,FALSE)</f>
        <v/>
      </c>
      <c r="H4">
        <f>_xlfn.POISSON.DIST(1,E4,FALSE)</f>
        <v/>
      </c>
      <c r="I4">
        <f>1-G4-H4</f>
        <v/>
      </c>
      <c r="J4">
        <f>IF(C4=0,0,_xlfn.CHISQ.INV(0.05,2*C4)/2/D4)</f>
        <v/>
      </c>
      <c r="K4">
        <f>_xlfn.CHISQ.INV(0.95,2*C4+2)/2/D4</f>
        <v/>
      </c>
      <c r="L4">
        <f>1-EXP(-J4)</f>
        <v/>
      </c>
      <c r="M4">
        <f>1-EXP(-K4)</f>
        <v/>
      </c>
      <c r="N4" s="3" t="n">
        <v>0</v>
      </c>
    </row>
    <row r="5">
      <c r="A5" t="n">
        <v>4</v>
      </c>
      <c r="B5" t="inlineStr">
        <is>
          <t>abr</t>
        </is>
      </c>
      <c r="C5">
        <f>COUNTIF(Eventos!D:D,A5)</f>
        <v/>
      </c>
      <c r="D5" t="n">
        <v>60</v>
      </c>
      <c r="E5">
        <f>C5/D5</f>
        <v/>
      </c>
      <c r="F5">
        <f>1-EXP(-E5)</f>
        <v/>
      </c>
      <c r="G5">
        <f>_xlfn.POISSON.DIST(0,E5,FALSE)</f>
        <v/>
      </c>
      <c r="H5">
        <f>_xlfn.POISSON.DIST(1,E5,FALSE)</f>
        <v/>
      </c>
      <c r="I5">
        <f>1-G5-H5</f>
        <v/>
      </c>
      <c r="J5">
        <f>IF(C5=0,0,_xlfn.CHISQ.INV(0.05,2*C5)/2/D5)</f>
        <v/>
      </c>
      <c r="K5">
        <f>_xlfn.CHISQ.INV(0.95,2*C5+2)/2/D5</f>
        <v/>
      </c>
      <c r="L5">
        <f>1-EXP(-J5)</f>
        <v/>
      </c>
      <c r="M5">
        <f>1-EXP(-K5)</f>
        <v/>
      </c>
      <c r="N5" s="3" t="n">
        <v>0</v>
      </c>
    </row>
    <row r="6">
      <c r="A6" t="n">
        <v>5</v>
      </c>
      <c r="B6" t="inlineStr">
        <is>
          <t>may</t>
        </is>
      </c>
      <c r="C6">
        <f>COUNTIF(Eventos!D:D,A6)</f>
        <v/>
      </c>
      <c r="D6" t="n">
        <v>60</v>
      </c>
      <c r="E6">
        <f>C6/D6</f>
        <v/>
      </c>
      <c r="F6">
        <f>1-EXP(-E6)</f>
        <v/>
      </c>
      <c r="G6">
        <f>_xlfn.POISSON.DIST(0,E6,FALSE)</f>
        <v/>
      </c>
      <c r="H6">
        <f>_xlfn.POISSON.DIST(1,E6,FALSE)</f>
        <v/>
      </c>
      <c r="I6">
        <f>1-G6-H6</f>
        <v/>
      </c>
      <c r="J6">
        <f>IF(C6=0,0,_xlfn.CHISQ.INV(0.05,2*C6)/2/D6)</f>
        <v/>
      </c>
      <c r="K6">
        <f>_xlfn.CHISQ.INV(0.95,2*C6+2)/2/D6</f>
        <v/>
      </c>
      <c r="L6">
        <f>1-EXP(-J6)</f>
        <v/>
      </c>
      <c r="M6">
        <f>1-EXP(-K6)</f>
        <v/>
      </c>
      <c r="N6" s="3" t="n">
        <v>0.016529</v>
      </c>
    </row>
    <row r="7">
      <c r="A7" t="n">
        <v>6</v>
      </c>
      <c r="B7" t="inlineStr">
        <is>
          <t>jun</t>
        </is>
      </c>
      <c r="C7">
        <f>COUNTIF(Eventos!D:D,A7)</f>
        <v/>
      </c>
      <c r="D7" t="n">
        <v>60</v>
      </c>
      <c r="E7">
        <f>C7/D7</f>
        <v/>
      </c>
      <c r="F7">
        <f>1-EXP(-E7)</f>
        <v/>
      </c>
      <c r="G7">
        <f>_xlfn.POISSON.DIST(0,E7,FALSE)</f>
        <v/>
      </c>
      <c r="H7">
        <f>_xlfn.POISSON.DIST(1,E7,FALSE)</f>
        <v/>
      </c>
      <c r="I7">
        <f>1-G7-H7</f>
        <v/>
      </c>
      <c r="J7">
        <f>IF(C7=0,0,_xlfn.CHISQ.INV(0.05,2*C7)/2/D7)</f>
        <v/>
      </c>
      <c r="K7">
        <f>_xlfn.CHISQ.INV(0.95,2*C7+2)/2/D7</f>
        <v/>
      </c>
      <c r="L7">
        <f>1-EXP(-J7)</f>
        <v/>
      </c>
      <c r="M7">
        <f>1-EXP(-K7)</f>
        <v/>
      </c>
      <c r="N7" s="3" t="n">
        <v>0.048771</v>
      </c>
    </row>
    <row r="8">
      <c r="A8" t="n">
        <v>7</v>
      </c>
      <c r="B8" t="inlineStr">
        <is>
          <t>jul</t>
        </is>
      </c>
      <c r="C8">
        <f>COUNTIF(Eventos!D:D,A8)</f>
        <v/>
      </c>
      <c r="D8" t="n">
        <v>60</v>
      </c>
      <c r="E8">
        <f>C8/D8</f>
        <v/>
      </c>
      <c r="F8">
        <f>1-EXP(-E8)</f>
        <v/>
      </c>
      <c r="G8">
        <f>_xlfn.POISSON.DIST(0,E8,FALSE)</f>
        <v/>
      </c>
      <c r="H8">
        <f>_xlfn.POISSON.DIST(1,E8,FALSE)</f>
        <v/>
      </c>
      <c r="I8">
        <f>1-G8-H8</f>
        <v/>
      </c>
      <c r="J8">
        <f>IF(C8=0,0,_xlfn.CHISQ.INV(0.05,2*C8)/2/D8)</f>
        <v/>
      </c>
      <c r="K8">
        <f>_xlfn.CHISQ.INV(0.95,2*C8+2)/2/D8</f>
        <v/>
      </c>
      <c r="L8">
        <f>1-EXP(-J8)</f>
        <v/>
      </c>
      <c r="M8">
        <f>1-EXP(-K8)</f>
        <v/>
      </c>
      <c r="N8" s="3" t="n">
        <v>0.016529</v>
      </c>
    </row>
    <row r="9">
      <c r="A9" t="n">
        <v>8</v>
      </c>
      <c r="B9" t="inlineStr">
        <is>
          <t>ago</t>
        </is>
      </c>
      <c r="C9">
        <f>COUNTIF(Eventos!D:D,A9)</f>
        <v/>
      </c>
      <c r="D9" t="n">
        <v>60</v>
      </c>
      <c r="E9">
        <f>C9/D9</f>
        <v/>
      </c>
      <c r="F9">
        <f>1-EXP(-E9)</f>
        <v/>
      </c>
      <c r="G9">
        <f>_xlfn.POISSON.DIST(0,E9,FALSE)</f>
        <v/>
      </c>
      <c r="H9">
        <f>_xlfn.POISSON.DIST(1,E9,FALSE)</f>
        <v/>
      </c>
      <c r="I9">
        <f>1-G9-H9</f>
        <v/>
      </c>
      <c r="J9">
        <f>IF(C9=0,0,_xlfn.CHISQ.INV(0.05,2*C9)/2/D9)</f>
        <v/>
      </c>
      <c r="K9">
        <f>_xlfn.CHISQ.INV(0.95,2*C9+2)/2/D9</f>
        <v/>
      </c>
      <c r="L9">
        <f>1-EXP(-J9)</f>
        <v/>
      </c>
      <c r="M9">
        <f>1-EXP(-K9)</f>
        <v/>
      </c>
      <c r="N9" s="3" t="n">
        <v>0.139292</v>
      </c>
    </row>
    <row r="10">
      <c r="A10" t="n">
        <v>9</v>
      </c>
      <c r="B10" t="inlineStr">
        <is>
          <t>sep</t>
        </is>
      </c>
      <c r="C10">
        <f>COUNTIF(Eventos!D:D,A10)</f>
        <v/>
      </c>
      <c r="D10" t="n">
        <v>60</v>
      </c>
      <c r="E10">
        <f>C10/D10</f>
        <v/>
      </c>
      <c r="F10">
        <f>1-EXP(-E10)</f>
        <v/>
      </c>
      <c r="G10">
        <f>_xlfn.POISSON.DIST(0,E10,FALSE)</f>
        <v/>
      </c>
      <c r="H10">
        <f>_xlfn.POISSON.DIST(1,E10,FALSE)</f>
        <v/>
      </c>
      <c r="I10">
        <f>1-G10-H10</f>
        <v/>
      </c>
      <c r="J10">
        <f>IF(C10=0,0,_xlfn.CHISQ.INV(0.05,2*C10)/2/D10)</f>
        <v/>
      </c>
      <c r="K10">
        <f>_xlfn.CHISQ.INV(0.95,2*C10+2)/2/D10</f>
        <v/>
      </c>
      <c r="L10">
        <f>1-EXP(-J10)</f>
        <v/>
      </c>
      <c r="M10">
        <f>1-EXP(-K10)</f>
        <v/>
      </c>
      <c r="N10" s="3" t="n">
        <v>0.124827</v>
      </c>
    </row>
    <row r="11">
      <c r="A11" t="n">
        <v>10</v>
      </c>
      <c r="B11" t="inlineStr">
        <is>
          <t>oct</t>
        </is>
      </c>
      <c r="C11">
        <f>COUNTIF(Eventos!D:D,A11)</f>
        <v/>
      </c>
      <c r="D11" t="n">
        <v>60</v>
      </c>
      <c r="E11">
        <f>C11/D11</f>
        <v/>
      </c>
      <c r="F11">
        <f>1-EXP(-E11)</f>
        <v/>
      </c>
      <c r="G11">
        <f>_xlfn.POISSON.DIST(0,E11,FALSE)</f>
        <v/>
      </c>
      <c r="H11">
        <f>_xlfn.POISSON.DIST(1,E11,FALSE)</f>
        <v/>
      </c>
      <c r="I11">
        <f>1-G11-H11</f>
        <v/>
      </c>
      <c r="J11">
        <f>IF(C11=0,0,_xlfn.CHISQ.INV(0.05,2*C11)/2/D11)</f>
        <v/>
      </c>
      <c r="K11">
        <f>_xlfn.CHISQ.INV(0.95,2*C11+2)/2/D11</f>
        <v/>
      </c>
      <c r="L11">
        <f>1-EXP(-J11)</f>
        <v/>
      </c>
      <c r="M11">
        <f>1-EXP(-K11)</f>
        <v/>
      </c>
      <c r="N11" s="3" t="n">
        <v>0.095163</v>
      </c>
    </row>
    <row r="12">
      <c r="A12" t="n">
        <v>11</v>
      </c>
      <c r="B12" t="inlineStr">
        <is>
          <t>nov</t>
        </is>
      </c>
      <c r="C12">
        <f>COUNTIF(Eventos!D:D,A12)</f>
        <v/>
      </c>
      <c r="D12" t="n">
        <v>60</v>
      </c>
      <c r="E12">
        <f>C12/D12</f>
        <v/>
      </c>
      <c r="F12">
        <f>1-EXP(-E12)</f>
        <v/>
      </c>
      <c r="G12">
        <f>_xlfn.POISSON.DIST(0,E12,FALSE)</f>
        <v/>
      </c>
      <c r="H12">
        <f>_xlfn.POISSON.DIST(1,E12,FALSE)</f>
        <v/>
      </c>
      <c r="I12">
        <f>1-G12-H12</f>
        <v/>
      </c>
      <c r="J12">
        <f>IF(C12=0,0,_xlfn.CHISQ.INV(0.05,2*C12)/2/D12)</f>
        <v/>
      </c>
      <c r="K12">
        <f>_xlfn.CHISQ.INV(0.95,2*C12+2)/2/D12</f>
        <v/>
      </c>
      <c r="L12">
        <f>1-EXP(-J12)</f>
        <v/>
      </c>
      <c r="M12">
        <f>1-EXP(-K12)</f>
        <v/>
      </c>
      <c r="N12" s="3" t="n">
        <v>0.048771</v>
      </c>
    </row>
    <row r="13">
      <c r="A13" t="n">
        <v>12</v>
      </c>
      <c r="B13" t="inlineStr">
        <is>
          <t>dic</t>
        </is>
      </c>
      <c r="C13">
        <f>COUNTIF(Eventos!D:D,A13)</f>
        <v/>
      </c>
      <c r="D13" t="n">
        <v>60</v>
      </c>
      <c r="E13">
        <f>C13/D13</f>
        <v/>
      </c>
      <c r="F13">
        <f>1-EXP(-E13)</f>
        <v/>
      </c>
      <c r="G13">
        <f>_xlfn.POISSON.DIST(0,E13,FALSE)</f>
        <v/>
      </c>
      <c r="H13">
        <f>_xlfn.POISSON.DIST(1,E13,FALSE)</f>
        <v/>
      </c>
      <c r="I13">
        <f>1-G13-H13</f>
        <v/>
      </c>
      <c r="J13">
        <f>IF(C13=0,0,_xlfn.CHISQ.INV(0.05,2*C13)/2/D13)</f>
        <v/>
      </c>
      <c r="K13">
        <f>_xlfn.CHISQ.INV(0.95,2*C13+2)/2/D13</f>
        <v/>
      </c>
      <c r="L13">
        <f>1-EXP(-J13)</f>
        <v/>
      </c>
      <c r="M13">
        <f>1-EXP(-K13)</f>
        <v/>
      </c>
      <c r="N13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2" t="inlineStr">
        <is>
          <t>Año</t>
        </is>
      </c>
      <c r="B1" s="2" t="inlineStr">
        <is>
          <t>Tormentas</t>
        </is>
      </c>
      <c r="C1" s="2" t="inlineStr"/>
      <c r="D1" s="2" t="inlineStr">
        <is>
          <t>Cálculo</t>
        </is>
      </c>
      <c r="E1" s="2" t="inlineStr">
        <is>
          <t>Fórmula</t>
        </is>
      </c>
      <c r="F1" s="2" t="inlineStr">
        <is>
          <t>Python</t>
        </is>
      </c>
    </row>
    <row r="2">
      <c r="A2" t="n">
        <v>1966</v>
      </c>
      <c r="B2">
        <f>COUNTIF(Eventos!C:C,A2)</f>
        <v/>
      </c>
      <c r="D2" t="inlineStr">
        <is>
          <t>Media</t>
        </is>
      </c>
      <c r="E2">
        <f>AVERAGE(B2:B61)</f>
        <v/>
      </c>
      <c r="F2" t="n">
        <v>0.516667</v>
      </c>
    </row>
    <row r="3">
      <c r="A3" t="n">
        <v>1967</v>
      </c>
      <c r="B3">
        <f>COUNTIF(Eventos!C:C,A3)</f>
        <v/>
      </c>
      <c r="D3" t="inlineStr">
        <is>
          <t>Varianza</t>
        </is>
      </c>
      <c r="E3">
        <f>_xlfn.VAR.S(B2:B61)</f>
        <v/>
      </c>
      <c r="F3" t="n">
        <v>0.55904</v>
      </c>
    </row>
    <row r="4">
      <c r="A4" t="n">
        <v>1968</v>
      </c>
      <c r="B4">
        <f>COUNTIF(Eventos!C:C,A4)</f>
        <v/>
      </c>
      <c r="D4" t="inlineStr">
        <is>
          <t>Índice de dispersión (varianza ÷ media)</t>
        </is>
      </c>
      <c r="E4">
        <f>E3/E2</f>
        <v/>
      </c>
      <c r="F4" t="n">
        <v>1.082012</v>
      </c>
    </row>
    <row r="5">
      <c r="A5" t="n">
        <v>1969</v>
      </c>
      <c r="B5">
        <f>COUNTIF(Eventos!C:C,A5)</f>
        <v/>
      </c>
      <c r="D5" t="inlineStr">
        <is>
          <t>Estadístico D = (n−1)·varianza ÷ media</t>
        </is>
      </c>
      <c r="E5">
        <f>(COUNT(B2:B61)-1)*E3/E2</f>
        <v/>
      </c>
      <c r="F5" t="n">
        <v>63.83871</v>
      </c>
    </row>
    <row r="6">
      <c r="A6" t="n">
        <v>1970</v>
      </c>
      <c r="B6">
        <f>COUNTIF(Eventos!C:C,A6)</f>
        <v/>
      </c>
      <c r="D6" t="inlineStr">
        <is>
          <t>p-valor (χ² con n−1 grados)</t>
        </is>
      </c>
      <c r="E6">
        <f>_xlfn.CHISQ.DIST.RT(E5,COUNT(B2:B61)-1)</f>
        <v/>
      </c>
      <c r="F6" t="n">
        <v>0.310361</v>
      </c>
    </row>
    <row r="7">
      <c r="A7" t="n">
        <v>1971</v>
      </c>
      <c r="B7">
        <f>COUNTIF(Eventos!C:C,A7)</f>
        <v/>
      </c>
    </row>
    <row r="8">
      <c r="A8" t="n">
        <v>1972</v>
      </c>
      <c r="B8">
        <f>COUNTIF(Eventos!C:C,A8)</f>
        <v/>
      </c>
    </row>
    <row r="9">
      <c r="A9" t="n">
        <v>1973</v>
      </c>
      <c r="B9">
        <f>COUNTIF(Eventos!C:C,A9)</f>
        <v/>
      </c>
      <c r="D9" t="inlineStr">
        <is>
          <t>Años con 0 tormentas: observados / esperados</t>
        </is>
      </c>
      <c r="E9">
        <f>COUNTIF(B2:B61,0)</f>
        <v/>
      </c>
      <c r="F9">
        <f>COUNT(B2:B61)*_xlfn.POISSON.DIST(0,E2,FALSE)</f>
        <v/>
      </c>
    </row>
    <row r="10">
      <c r="A10" t="n">
        <v>1974</v>
      </c>
      <c r="B10">
        <f>COUNTIF(Eventos!C:C,A10)</f>
        <v/>
      </c>
      <c r="D10" t="inlineStr">
        <is>
          <t>Años con 1 tormentas: observados / esperados</t>
        </is>
      </c>
      <c r="E10">
        <f>COUNTIF(B2:B61,1)</f>
        <v/>
      </c>
      <c r="F10">
        <f>COUNT(B2:B61)*_xlfn.POISSON.DIST(1,E2,FALSE)</f>
        <v/>
      </c>
    </row>
    <row r="11">
      <c r="A11" t="n">
        <v>1975</v>
      </c>
      <c r="B11">
        <f>COUNTIF(Eventos!C:C,A11)</f>
        <v/>
      </c>
      <c r="D11" t="inlineStr">
        <is>
          <t>Años con 2 tormentas: observados / esperados</t>
        </is>
      </c>
      <c r="E11">
        <f>COUNTIF(B2:B61,2)</f>
        <v/>
      </c>
      <c r="F11">
        <f>COUNT(B2:B61)*_xlfn.POISSON.DIST(2,E2,FALSE)</f>
        <v/>
      </c>
    </row>
    <row r="12">
      <c r="A12" t="n">
        <v>1976</v>
      </c>
      <c r="B12">
        <f>COUNTIF(Eventos!C:C,A12)</f>
        <v/>
      </c>
      <c r="D12" t="inlineStr">
        <is>
          <t>Años con 3 tormentas: observados / esperados</t>
        </is>
      </c>
      <c r="E12">
        <f>COUNTIF(B2:B61,3)</f>
        <v/>
      </c>
      <c r="F12">
        <f>COUNT(B2:B61)*_xlfn.POISSON.DIST(3,E2,FALSE)</f>
        <v/>
      </c>
    </row>
    <row r="13">
      <c r="A13" t="n">
        <v>1977</v>
      </c>
      <c r="B13">
        <f>COUNTIF(Eventos!C:C,A13)</f>
        <v/>
      </c>
    </row>
    <row r="14">
      <c r="A14" t="n">
        <v>1978</v>
      </c>
      <c r="B14">
        <f>COUNTIF(Eventos!C:C,A14)</f>
        <v/>
      </c>
    </row>
    <row r="15">
      <c r="A15" t="n">
        <v>1979</v>
      </c>
      <c r="B15">
        <f>COUNTIF(Eventos!C:C,A15)</f>
        <v/>
      </c>
    </row>
    <row r="16">
      <c r="A16" t="n">
        <v>1980</v>
      </c>
      <c r="B16">
        <f>COUNTIF(Eventos!C:C,A16)</f>
        <v/>
      </c>
    </row>
    <row r="17">
      <c r="A17" t="n">
        <v>1981</v>
      </c>
      <c r="B17">
        <f>COUNTIF(Eventos!C:C,A17)</f>
        <v/>
      </c>
    </row>
    <row r="18">
      <c r="A18" t="n">
        <v>1982</v>
      </c>
      <c r="B18">
        <f>COUNTIF(Eventos!C:C,A18)</f>
        <v/>
      </c>
    </row>
    <row r="19">
      <c r="A19" t="n">
        <v>1983</v>
      </c>
      <c r="B19">
        <f>COUNTIF(Eventos!C:C,A19)</f>
        <v/>
      </c>
    </row>
    <row r="20">
      <c r="A20" t="n">
        <v>1984</v>
      </c>
      <c r="B20">
        <f>COUNTIF(Eventos!C:C,A20)</f>
        <v/>
      </c>
    </row>
    <row r="21">
      <c r="A21" t="n">
        <v>1985</v>
      </c>
      <c r="B21">
        <f>COUNTIF(Eventos!C:C,A21)</f>
        <v/>
      </c>
    </row>
    <row r="22">
      <c r="A22" t="n">
        <v>1986</v>
      </c>
      <c r="B22">
        <f>COUNTIF(Eventos!C:C,A22)</f>
        <v/>
      </c>
    </row>
    <row r="23">
      <c r="A23" t="n">
        <v>1987</v>
      </c>
      <c r="B23">
        <f>COUNTIF(Eventos!C:C,A23)</f>
        <v/>
      </c>
    </row>
    <row r="24">
      <c r="A24" t="n">
        <v>1988</v>
      </c>
      <c r="B24">
        <f>COUNTIF(Eventos!C:C,A24)</f>
        <v/>
      </c>
    </row>
    <row r="25">
      <c r="A25" t="n">
        <v>1989</v>
      </c>
      <c r="B25">
        <f>COUNTIF(Eventos!C:C,A25)</f>
        <v/>
      </c>
    </row>
    <row r="26">
      <c r="A26" t="n">
        <v>1990</v>
      </c>
      <c r="B26">
        <f>COUNTIF(Eventos!C:C,A26)</f>
        <v/>
      </c>
    </row>
    <row r="27">
      <c r="A27" t="n">
        <v>1991</v>
      </c>
      <c r="B27">
        <f>COUNTIF(Eventos!C:C,A27)</f>
        <v/>
      </c>
    </row>
    <row r="28">
      <c r="A28" t="n">
        <v>1992</v>
      </c>
      <c r="B28">
        <f>COUNTIF(Eventos!C:C,A28)</f>
        <v/>
      </c>
    </row>
    <row r="29">
      <c r="A29" t="n">
        <v>1993</v>
      </c>
      <c r="B29">
        <f>COUNTIF(Eventos!C:C,A29)</f>
        <v/>
      </c>
    </row>
    <row r="30">
      <c r="A30" t="n">
        <v>1994</v>
      </c>
      <c r="B30">
        <f>COUNTIF(Eventos!C:C,A30)</f>
        <v/>
      </c>
    </row>
    <row r="31">
      <c r="A31" t="n">
        <v>1995</v>
      </c>
      <c r="B31">
        <f>COUNTIF(Eventos!C:C,A31)</f>
        <v/>
      </c>
    </row>
    <row r="32">
      <c r="A32" t="n">
        <v>1996</v>
      </c>
      <c r="B32">
        <f>COUNTIF(Eventos!C:C,A32)</f>
        <v/>
      </c>
    </row>
    <row r="33">
      <c r="A33" t="n">
        <v>1997</v>
      </c>
      <c r="B33">
        <f>COUNTIF(Eventos!C:C,A33)</f>
        <v/>
      </c>
    </row>
    <row r="34">
      <c r="A34" t="n">
        <v>1998</v>
      </c>
      <c r="B34">
        <f>COUNTIF(Eventos!C:C,A34)</f>
        <v/>
      </c>
    </row>
    <row r="35">
      <c r="A35" t="n">
        <v>1999</v>
      </c>
      <c r="B35">
        <f>COUNTIF(Eventos!C:C,A35)</f>
        <v/>
      </c>
    </row>
    <row r="36">
      <c r="A36" t="n">
        <v>2000</v>
      </c>
      <c r="B36">
        <f>COUNTIF(Eventos!C:C,A36)</f>
        <v/>
      </c>
    </row>
    <row r="37">
      <c r="A37" t="n">
        <v>2001</v>
      </c>
      <c r="B37">
        <f>COUNTIF(Eventos!C:C,A37)</f>
        <v/>
      </c>
    </row>
    <row r="38">
      <c r="A38" t="n">
        <v>2002</v>
      </c>
      <c r="B38">
        <f>COUNTIF(Eventos!C:C,A38)</f>
        <v/>
      </c>
    </row>
    <row r="39">
      <c r="A39" t="n">
        <v>2003</v>
      </c>
      <c r="B39">
        <f>COUNTIF(Eventos!C:C,A39)</f>
        <v/>
      </c>
    </row>
    <row r="40">
      <c r="A40" t="n">
        <v>2004</v>
      </c>
      <c r="B40">
        <f>COUNTIF(Eventos!C:C,A40)</f>
        <v/>
      </c>
    </row>
    <row r="41">
      <c r="A41" t="n">
        <v>2005</v>
      </c>
      <c r="B41">
        <f>COUNTIF(Eventos!C:C,A41)</f>
        <v/>
      </c>
    </row>
    <row r="42">
      <c r="A42" t="n">
        <v>2006</v>
      </c>
      <c r="B42">
        <f>COUNTIF(Eventos!C:C,A42)</f>
        <v/>
      </c>
    </row>
    <row r="43">
      <c r="A43" t="n">
        <v>2007</v>
      </c>
      <c r="B43">
        <f>COUNTIF(Eventos!C:C,A43)</f>
        <v/>
      </c>
    </row>
    <row r="44">
      <c r="A44" t="n">
        <v>2008</v>
      </c>
      <c r="B44">
        <f>COUNTIF(Eventos!C:C,A44)</f>
        <v/>
      </c>
    </row>
    <row r="45">
      <c r="A45" t="n">
        <v>2009</v>
      </c>
      <c r="B45">
        <f>COUNTIF(Eventos!C:C,A45)</f>
        <v/>
      </c>
    </row>
    <row r="46">
      <c r="A46" t="n">
        <v>2010</v>
      </c>
      <c r="B46">
        <f>COUNTIF(Eventos!C:C,A46)</f>
        <v/>
      </c>
    </row>
    <row r="47">
      <c r="A47" t="n">
        <v>2011</v>
      </c>
      <c r="B47">
        <f>COUNTIF(Eventos!C:C,A47)</f>
        <v/>
      </c>
    </row>
    <row r="48">
      <c r="A48" t="n">
        <v>2012</v>
      </c>
      <c r="B48">
        <f>COUNTIF(Eventos!C:C,A48)</f>
        <v/>
      </c>
    </row>
    <row r="49">
      <c r="A49" t="n">
        <v>2013</v>
      </c>
      <c r="B49">
        <f>COUNTIF(Eventos!C:C,A49)</f>
        <v/>
      </c>
    </row>
    <row r="50">
      <c r="A50" t="n">
        <v>2014</v>
      </c>
      <c r="B50">
        <f>COUNTIF(Eventos!C:C,A50)</f>
        <v/>
      </c>
    </row>
    <row r="51">
      <c r="A51" t="n">
        <v>2015</v>
      </c>
      <c r="B51">
        <f>COUNTIF(Eventos!C:C,A51)</f>
        <v/>
      </c>
    </row>
    <row r="52">
      <c r="A52" t="n">
        <v>2016</v>
      </c>
      <c r="B52">
        <f>COUNTIF(Eventos!C:C,A52)</f>
        <v/>
      </c>
    </row>
    <row r="53">
      <c r="A53" t="n">
        <v>2017</v>
      </c>
      <c r="B53">
        <f>COUNTIF(Eventos!C:C,A53)</f>
        <v/>
      </c>
    </row>
    <row r="54">
      <c r="A54" t="n">
        <v>2018</v>
      </c>
      <c r="B54">
        <f>COUNTIF(Eventos!C:C,A54)</f>
        <v/>
      </c>
    </row>
    <row r="55">
      <c r="A55" t="n">
        <v>2019</v>
      </c>
      <c r="B55">
        <f>COUNTIF(Eventos!C:C,A55)</f>
        <v/>
      </c>
    </row>
    <row r="56">
      <c r="A56" t="n">
        <v>2020</v>
      </c>
      <c r="B56">
        <f>COUNTIF(Eventos!C:C,A56)</f>
        <v/>
      </c>
    </row>
    <row r="57">
      <c r="A57" t="n">
        <v>2021</v>
      </c>
      <c r="B57">
        <f>COUNTIF(Eventos!C:C,A57)</f>
        <v/>
      </c>
    </row>
    <row r="58">
      <c r="A58" t="n">
        <v>2022</v>
      </c>
      <c r="B58">
        <f>COUNTIF(Eventos!C:C,A58)</f>
        <v/>
      </c>
    </row>
    <row r="59">
      <c r="A59" t="n">
        <v>2023</v>
      </c>
      <c r="B59">
        <f>COUNTIF(Eventos!C:C,A59)</f>
        <v/>
      </c>
    </row>
    <row r="60">
      <c r="A60" t="n">
        <v>2024</v>
      </c>
      <c r="B60">
        <f>COUNTIF(Eventos!C:C,A60)</f>
        <v/>
      </c>
    </row>
    <row r="61">
      <c r="A61" t="n">
        <v>2025</v>
      </c>
      <c r="B61">
        <f>COUNTIF(Eventos!C:C,A61)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2" t="inlineStr">
        <is>
          <t>Cálculo</t>
        </is>
      </c>
      <c r="B1" s="2" t="inlineStr">
        <is>
          <t>Fórmula</t>
        </is>
      </c>
      <c r="C1" s="2" t="inlineStr">
        <is>
          <t>Python</t>
        </is>
      </c>
    </row>
    <row r="2">
      <c r="A2" t="inlineStr">
        <is>
          <t>Eventos 1966–1995</t>
        </is>
      </c>
      <c r="B2">
        <f>COUNTIF(Eventos!C:C,"&lt;=1995")</f>
        <v/>
      </c>
      <c r="C2" t="n">
        <v>10</v>
      </c>
    </row>
    <row r="3">
      <c r="A3" t="inlineStr">
        <is>
          <t>Eventos 1996–2025</t>
        </is>
      </c>
      <c r="B3">
        <f>COUNTIF(Eventos!C:C,"&gt;=1996")</f>
        <v/>
      </c>
      <c r="C3" t="n">
        <v>21</v>
      </c>
    </row>
    <row r="4">
      <c r="A4" t="inlineStr">
        <is>
          <t>Total</t>
        </is>
      </c>
      <c r="B4">
        <f>B2+B3</f>
        <v/>
      </c>
      <c r="C4" t="n">
        <v>31</v>
      </c>
    </row>
    <row r="5">
      <c r="A5" t="inlineStr">
        <is>
          <t>p-valor binomial de dos colas (misma tasa = 50 % en cada mitad)</t>
        </is>
      </c>
      <c r="B5">
        <f>MIN(1,2*(1-_xlfn.BINOM.DIST(B3-1,B4,0.5,TRUE)))</f>
        <v/>
      </c>
      <c r="C5" t="n">
        <v>0.070756</v>
      </c>
    </row>
    <row r="7">
      <c r="A7" t="inlineStr">
        <is>
          <t>Mes</t>
        </is>
      </c>
      <c r="B7" t="inlineStr">
        <is>
          <t>P con 60 años</t>
        </is>
      </c>
      <c r="C7" t="inlineStr">
        <is>
          <t>P con 30 años (1996–2025)</t>
        </is>
      </c>
    </row>
    <row r="8">
      <c r="A8" t="n">
        <v>1</v>
      </c>
      <c r="B8">
        <f>1-EXP(-COUNTIF(Eventos!D:D,A8)/60)</f>
        <v/>
      </c>
      <c r="C8">
        <f>1-EXP(-COUNTIFS(Eventos!D:D,A8,Eventos!C:C,"&gt;=1996")/30)</f>
        <v/>
      </c>
    </row>
    <row r="9">
      <c r="A9" t="n">
        <v>2</v>
      </c>
      <c r="B9">
        <f>1-EXP(-COUNTIF(Eventos!D:D,A9)/60)</f>
        <v/>
      </c>
      <c r="C9">
        <f>1-EXP(-COUNTIFS(Eventos!D:D,A9,Eventos!C:C,"&gt;=1996")/30)</f>
        <v/>
      </c>
    </row>
    <row r="10">
      <c r="A10" t="n">
        <v>3</v>
      </c>
      <c r="B10">
        <f>1-EXP(-COUNTIF(Eventos!D:D,A10)/60)</f>
        <v/>
      </c>
      <c r="C10">
        <f>1-EXP(-COUNTIFS(Eventos!D:D,A10,Eventos!C:C,"&gt;=1996")/30)</f>
        <v/>
      </c>
    </row>
    <row r="11">
      <c r="A11" t="n">
        <v>4</v>
      </c>
      <c r="B11">
        <f>1-EXP(-COUNTIF(Eventos!D:D,A11)/60)</f>
        <v/>
      </c>
      <c r="C11">
        <f>1-EXP(-COUNTIFS(Eventos!D:D,A11,Eventos!C:C,"&gt;=1996")/30)</f>
        <v/>
      </c>
    </row>
    <row r="12">
      <c r="A12" t="n">
        <v>5</v>
      </c>
      <c r="B12">
        <f>1-EXP(-COUNTIF(Eventos!D:D,A12)/60)</f>
        <v/>
      </c>
      <c r="C12">
        <f>1-EXP(-COUNTIFS(Eventos!D:D,A12,Eventos!C:C,"&gt;=1996")/30)</f>
        <v/>
      </c>
    </row>
    <row r="13">
      <c r="A13" t="n">
        <v>6</v>
      </c>
      <c r="B13">
        <f>1-EXP(-COUNTIF(Eventos!D:D,A13)/60)</f>
        <v/>
      </c>
      <c r="C13">
        <f>1-EXP(-COUNTIFS(Eventos!D:D,A13,Eventos!C:C,"&gt;=1996")/30)</f>
        <v/>
      </c>
    </row>
    <row r="14">
      <c r="A14" t="n">
        <v>7</v>
      </c>
      <c r="B14">
        <f>1-EXP(-COUNTIF(Eventos!D:D,A14)/60)</f>
        <v/>
      </c>
      <c r="C14">
        <f>1-EXP(-COUNTIFS(Eventos!D:D,A14,Eventos!C:C,"&gt;=1996")/30)</f>
        <v/>
      </c>
    </row>
    <row r="15">
      <c r="A15" t="n">
        <v>8</v>
      </c>
      <c r="B15">
        <f>1-EXP(-COUNTIF(Eventos!D:D,A15)/60)</f>
        <v/>
      </c>
      <c r="C15">
        <f>1-EXP(-COUNTIFS(Eventos!D:D,A15,Eventos!C:C,"&gt;=1996")/30)</f>
        <v/>
      </c>
    </row>
    <row r="16">
      <c r="A16" t="n">
        <v>9</v>
      </c>
      <c r="B16">
        <f>1-EXP(-COUNTIF(Eventos!D:D,A16)/60)</f>
        <v/>
      </c>
      <c r="C16">
        <f>1-EXP(-COUNTIFS(Eventos!D:D,A16,Eventos!C:C,"&gt;=1996")/30)</f>
        <v/>
      </c>
    </row>
    <row r="17">
      <c r="A17" t="n">
        <v>10</v>
      </c>
      <c r="B17">
        <f>1-EXP(-COUNTIF(Eventos!D:D,A17)/60)</f>
        <v/>
      </c>
      <c r="C17">
        <f>1-EXP(-COUNTIFS(Eventos!D:D,A17,Eventos!C:C,"&gt;=1996")/30)</f>
        <v/>
      </c>
    </row>
    <row r="18">
      <c r="A18" t="n">
        <v>11</v>
      </c>
      <c r="B18">
        <f>1-EXP(-COUNTIF(Eventos!D:D,A18)/60)</f>
        <v/>
      </c>
      <c r="C18">
        <f>1-EXP(-COUNTIFS(Eventos!D:D,A18,Eventos!C:C,"&gt;=1996")/30)</f>
        <v/>
      </c>
    </row>
    <row r="19">
      <c r="A19" t="n">
        <v>12</v>
      </c>
      <c r="B19">
        <f>1-EXP(-COUNTIF(Eventos!D:D,A19)/60)</f>
        <v/>
      </c>
      <c r="C19">
        <f>1-EXP(-COUNTIFS(Eventos!D:D,A19,Eventos!C:C,"&gt;=1996")/30)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2026-10-27T21:06:33Z</dcterms:created>
  <dcterms:modified xmlns:dcterms="http://purl.org/dc/terms/" xmlns:xsi="http://www.w3.org/2001/XMLSchema-instance" xsi:type="dcterms:W3CDTF">2026-10-27T21:06:34Z</dcterms:modified>
</cp:coreProperties>
</file>