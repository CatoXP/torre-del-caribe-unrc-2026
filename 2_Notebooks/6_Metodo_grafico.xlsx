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F2241"/>
      <sz val="13"/>
    </font>
  </fonts>
  <fills count="4">
    <fill>
      <patternFill/>
    </fill>
    <fill>
      <patternFill patternType="gray125"/>
    </fill>
    <fill>
      <patternFill patternType="solid">
        <fgColor rgb="009F2241"/>
      </patternFill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14" customWidth="1" min="4" max="4"/>
  </cols>
  <sheetData>
    <row r="1">
      <c r="A1" s="1" t="inlineStr">
        <is>
          <t>Torre del Caribe · Presupuesto en dos canales (método gráfico)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De dónde sale</t>
        </is>
      </c>
      <c r="D3" s="2" t="n"/>
    </row>
    <row r="4">
      <c r="A4" t="inlineStr">
        <is>
          <t>Visitantes por cada mil pesos en Facebook (rF)</t>
        </is>
      </c>
      <c r="B4" t="n">
        <v>6.608398</v>
      </c>
      <c r="C4" t="inlineStr">
        <is>
          <t>conversión ÷ (clic en dólares × pesos por dólar)</t>
        </is>
      </c>
    </row>
    <row r="5">
      <c r="A5" t="inlineStr">
        <is>
          <t>Visitantes por cada mil pesos en Google (rG)</t>
        </is>
      </c>
      <c r="B5" t="n">
        <v>1.589756</v>
      </c>
      <c r="C5" t="inlineStr">
        <is>
          <t>WordStream 2025, categoría viajes; FRED</t>
        </is>
      </c>
    </row>
    <row r="6">
      <c r="A6" t="inlineStr">
        <is>
          <t>Presupuesto de 9 meses (miles de pesos)</t>
        </is>
      </c>
      <c r="B6">
        <f>250*9/12</f>
        <v/>
      </c>
      <c r="C6" t="inlineStr">
        <is>
          <t>$250,000 al año prorrateado</t>
        </is>
      </c>
    </row>
    <row r="7">
      <c r="A7" t="inlineStr">
        <is>
          <t>Tope por canal</t>
        </is>
      </c>
      <c r="B7" t="n">
        <v>0.7</v>
      </c>
      <c r="C7" t="inlineStr">
        <is>
          <t>no depender de una sola plataforma</t>
        </is>
      </c>
    </row>
    <row r="9">
      <c r="A9" s="2" t="inlineStr">
        <is>
          <t>Decisión</t>
        </is>
      </c>
      <c r="B9" s="2" t="inlineStr">
        <is>
          <t>Miles de pesos</t>
        </is>
      </c>
      <c r="C9" s="2" t="inlineStr">
        <is>
          <t>Para Solver: celdas que cambian</t>
        </is>
      </c>
      <c r="D9" s="2" t="n"/>
    </row>
    <row r="10">
      <c r="A10" t="inlineStr">
        <is>
          <t>x1 Facebook</t>
        </is>
      </c>
      <c r="B10" s="3" t="n">
        <v>131.25</v>
      </c>
    </row>
    <row r="11">
      <c r="A11" t="inlineStr">
        <is>
          <t>x2 Google</t>
        </is>
      </c>
      <c r="B11" s="3" t="n">
        <v>56.25</v>
      </c>
    </row>
    <row r="13">
      <c r="A13" t="inlineStr">
        <is>
          <t>Función objetivo Z (visitantes)</t>
        </is>
      </c>
      <c r="B13" s="3">
        <f>B4*B10+B5*B11</f>
        <v/>
      </c>
      <c r="C13" t="inlineStr">
        <is>
          <t>Solver: maximizar esta celda</t>
        </is>
      </c>
    </row>
    <row r="15">
      <c r="A15" s="2" t="inlineStr">
        <is>
          <t>Restricción</t>
        </is>
      </c>
      <c r="B15" s="2" t="inlineStr">
        <is>
          <t>Lado izquierdo</t>
        </is>
      </c>
      <c r="C15" s="2" t="inlineStr">
        <is>
          <t>Límite</t>
        </is>
      </c>
      <c r="D15" s="2" t="n"/>
    </row>
    <row r="16">
      <c r="A16" t="inlineStr">
        <is>
          <t>R1 presupuesto: x1 + x2 ≤ B6</t>
        </is>
      </c>
      <c r="B16">
        <f>B10+B11</f>
        <v/>
      </c>
      <c r="C16">
        <f>B6</f>
        <v/>
      </c>
    </row>
    <row r="17">
      <c r="A17" t="inlineStr">
        <is>
          <t>R2 tope de Facebook: x1 ≤ 0.7·B6</t>
        </is>
      </c>
      <c r="B17">
        <f>B10</f>
        <v/>
      </c>
      <c r="C17">
        <f>B7*B6</f>
        <v/>
      </c>
    </row>
    <row r="19">
      <c r="A19" s="2" t="inlineStr">
        <is>
          <t>Vértice</t>
        </is>
      </c>
      <c r="B19" s="2" t="inlineStr">
        <is>
          <t>x1</t>
        </is>
      </c>
      <c r="C19" s="2" t="inlineStr">
        <is>
          <t>x2</t>
        </is>
      </c>
      <c r="D19" s="2" t="inlineStr">
        <is>
          <t>Z</t>
        </is>
      </c>
    </row>
    <row r="20">
      <c r="A20" t="inlineStr">
        <is>
          <t>A</t>
        </is>
      </c>
      <c r="B20" t="n">
        <v>0</v>
      </c>
      <c r="C20" t="n">
        <v>0</v>
      </c>
      <c r="D20">
        <f>$B$4*B20+$B$5*C20</f>
        <v/>
      </c>
    </row>
    <row r="21">
      <c r="A21" t="inlineStr">
        <is>
          <t>B</t>
        </is>
      </c>
      <c r="B21" t="n">
        <v>0</v>
      </c>
      <c r="C21">
        <f>B6</f>
        <v/>
      </c>
      <c r="D21">
        <f>$B$4*B21+$B$5*C21</f>
        <v/>
      </c>
    </row>
    <row r="22">
      <c r="A22" t="inlineStr">
        <is>
          <t>C</t>
        </is>
      </c>
      <c r="B22">
        <f>B7*B6</f>
        <v/>
      </c>
      <c r="C22" t="n">
        <v>0</v>
      </c>
      <c r="D22">
        <f>$B$4*B22+$B$5*C22</f>
        <v/>
      </c>
    </row>
    <row r="23">
      <c r="A23" t="inlineStr">
        <is>
          <t>D</t>
        </is>
      </c>
      <c r="B23">
        <f>B7*B6</f>
        <v/>
      </c>
      <c r="C23">
        <f>B6-B7*B6</f>
        <v/>
      </c>
      <c r="D23">
        <f>$B$4*B23+$B$5*C23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2026-10-27T21:06:45Z</dcterms:created>
  <dcterms:modified xmlns:dcterms="http://purl.org/dc/terms/" xmlns:xsi="http://www.w3.org/2001/XMLSchema-instance" xsi:type="dcterms:W3CDTF">2026-10-27T21:06:45Z</dcterms:modified>
</cp:coreProperties>
</file>